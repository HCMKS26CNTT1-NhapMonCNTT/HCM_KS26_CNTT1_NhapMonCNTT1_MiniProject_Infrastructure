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reentech-system\data\"/>
    </mc:Choice>
  </mc:AlternateContent>
  <xr:revisionPtr revIDLastSave="0" documentId="13_ncr:1_{7F70A5D4-A81F-4E84-8C18-74856B395A07}" xr6:coauthVersionLast="47" xr6:coauthVersionMax="47" xr10:uidLastSave="{00000000-0000-0000-0000-000000000000}"/>
  <bookViews>
    <workbookView xWindow="-110" yWindow="-110" windowWidth="19420" windowHeight="10300" activeTab="1" xr2:uid="{AE0446B6-3E67-4D59-8102-BAE14100EEDB}"/>
  </bookViews>
  <sheets>
    <sheet name="danh-muc-linh-kien" sheetId="1" r:id="rId1"/>
    <sheet name="trang-thai-tram" sheetId="2" r:id="rId2"/>
  </sheets>
  <definedNames>
    <definedName name="_xlnm._FilterDatabase" localSheetId="1" hidden="1">'trang-thai-tram'!$A$1:$E$1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2" i="2"/>
</calcChain>
</file>

<file path=xl/sharedStrings.xml><?xml version="1.0" encoding="utf-8"?>
<sst xmlns="http://schemas.openxmlformats.org/spreadsheetml/2006/main" count="36" uniqueCount="28">
  <si>
    <t>ma_linh_kien</t>
  </si>
  <si>
    <t>ten_thiet_bi</t>
  </si>
  <si>
    <t>don_gia</t>
  </si>
  <si>
    <t>loai_storage</t>
  </si>
  <si>
    <t>CPU-01</t>
  </si>
  <si>
    <t>Server Controller Alpha</t>
  </si>
  <si>
    <t>SSD</t>
  </si>
  <si>
    <t>CPU-02</t>
  </si>
  <si>
    <t>Node Gateway Beta</t>
  </si>
  <si>
    <t>Thẻ nhớ</t>
  </si>
  <si>
    <t>CPU-03</t>
  </si>
  <si>
    <t>Edge Computing Core</t>
  </si>
  <si>
    <t>CPU-04</t>
  </si>
  <si>
    <t>Sensor Hub Delta</t>
  </si>
  <si>
    <t>HDD</t>
  </si>
  <si>
    <t>ma_tram</t>
  </si>
  <si>
    <t>dung_luong_ram</t>
  </si>
  <si>
    <t>ngay_lap_dat</t>
  </si>
  <si>
    <t>TRAM-01</t>
  </si>
  <si>
    <t>16GB</t>
  </si>
  <si>
    <t>TRAM-02</t>
  </si>
  <si>
    <t>4GB</t>
  </si>
  <si>
    <t>15/02/2026</t>
  </si>
  <si>
    <t>TRAM-03</t>
  </si>
  <si>
    <t>8GB</t>
  </si>
  <si>
    <t>20/03/2026</t>
  </si>
  <si>
    <t>TRAM-04</t>
  </si>
  <si>
    <t>22/03/2026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</si>
</sst>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14" fontId="1" fillId="0" borderId="1" xfId="0" applyNumberFormat="1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498D2-0D08-4520-B2A8-C8A4E33E9FEE}">
  <dimension ref="A1:D5"/>
  <sheetViews>
    <sheetView workbookViewId="0">
      <selection activeCell="C3" sqref="C3"/>
    </sheetView>
  </sheetViews>
  <sheetFormatPr defaultRowHeight="14.5" x14ac:dyDescent="0.35"/>
  <cols>
    <col min="1" max="1" width="13.90625" customWidth="1"/>
    <col min="2" max="2" width="16.90625" customWidth="1"/>
    <col min="3" max="3" width="12.36328125" customWidth="1"/>
    <col min="4" max="4" width="12" customWidth="1"/>
  </cols>
  <sheetData>
    <row r="1" spans="1:4" ht="28.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56.5" thickBot="1" x14ac:dyDescent="0.4">
      <c r="A2" s="2" t="s">
        <v>4</v>
      </c>
      <c r="B2" s="2" t="s">
        <v>5</v>
      </c>
      <c r="C2" s="2">
        <v>5000000</v>
      </c>
      <c r="D2" s="2" t="s">
        <v>6</v>
      </c>
    </row>
    <row r="3" spans="1:4" ht="42.5" thickBot="1" x14ac:dyDescent="0.4">
      <c r="A3" s="2" t="s">
        <v>7</v>
      </c>
      <c r="B3" s="2" t="s">
        <v>8</v>
      </c>
      <c r="C3" s="2">
        <v>2000000</v>
      </c>
      <c r="D3" s="2" t="s">
        <v>9</v>
      </c>
    </row>
    <row r="4" spans="1:4" ht="56.5" thickBot="1" x14ac:dyDescent="0.4">
      <c r="A4" s="2" t="s">
        <v>10</v>
      </c>
      <c r="B4" s="2" t="s">
        <v>11</v>
      </c>
      <c r="C4" s="2">
        <v>3500000</v>
      </c>
      <c r="D4" s="2" t="s">
        <v>6</v>
      </c>
    </row>
    <row r="5" spans="1:4" ht="42.5" thickBot="1" x14ac:dyDescent="0.4">
      <c r="A5" s="2" t="s">
        <v>12</v>
      </c>
      <c r="B5" s="2" t="s">
        <v>13</v>
      </c>
      <c r="C5" s="2">
        <v>1500000</v>
      </c>
      <c r="D5" s="2" t="s">
        <v>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2EE1F-7384-4721-95CE-C66B671CCD0C}">
  <dimension ref="A1:E5"/>
  <sheetViews>
    <sheetView tabSelected="1" workbookViewId="0">
      <selection activeCell="E2" sqref="E2"/>
    </sheetView>
  </sheetViews>
  <sheetFormatPr defaultRowHeight="14.5" x14ac:dyDescent="0.35"/>
  <cols>
    <col min="1" max="1" width="14.7265625" customWidth="1"/>
    <col min="2" max="2" width="13.90625" customWidth="1"/>
    <col min="3" max="3" width="13.1796875" customWidth="1"/>
    <col min="4" max="4" width="13.08984375" customWidth="1"/>
    <col min="5" max="5" width="15.54296875" customWidth="1"/>
  </cols>
  <sheetData>
    <row r="1" spans="1:5" ht="42.5" thickBot="1" x14ac:dyDescent="0.4">
      <c r="A1" s="1" t="s">
        <v>15</v>
      </c>
      <c r="B1" s="1" t="s">
        <v>0</v>
      </c>
      <c r="C1" s="1" t="s">
        <v>1</v>
      </c>
      <c r="D1" s="1" t="s">
        <v>16</v>
      </c>
      <c r="E1" s="1" t="s">
        <v>17</v>
      </c>
    </row>
    <row r="2" spans="1:5" ht="15" thickBot="1" x14ac:dyDescent="0.4">
      <c r="A2" s="2" t="s">
        <v>18</v>
      </c>
      <c r="B2" s="2" t="s">
        <v>4</v>
      </c>
      <c r="C2" s="2" t="str">
        <f>VLOOKUP(TRIM(B2), 'danh-muc-linh-kien'!$A$2:$D$5, 2, FALSE)</f>
        <v>Server Controller Alpha</v>
      </c>
      <c r="D2" s="2" t="s">
        <v>19</v>
      </c>
      <c r="E2" s="3">
        <v>46296</v>
      </c>
    </row>
    <row r="3" spans="1:5" ht="42.5" thickBot="1" x14ac:dyDescent="0.4">
      <c r="A3" s="2" t="s">
        <v>20</v>
      </c>
      <c r="B3" s="2" t="s">
        <v>7</v>
      </c>
      <c r="C3" s="2" t="str">
        <f>VLOOKUP(TRIM(B3), 'danh-muc-linh-kien'!$A$2:$D$5, 2, FALSE)</f>
        <v>Node Gateway Beta</v>
      </c>
      <c r="D3" s="2" t="s">
        <v>21</v>
      </c>
      <c r="E3" s="2" t="s">
        <v>22</v>
      </c>
    </row>
    <row r="4" spans="1:5" ht="42.5" thickBot="1" x14ac:dyDescent="0.4">
      <c r="A4" s="2" t="s">
        <v>23</v>
      </c>
      <c r="B4" s="2" t="s">
        <v>10</v>
      </c>
      <c r="C4" s="2" t="str">
        <f>VLOOKUP(TRIM(B4), 'danh-muc-linh-kien'!$A$2:$D$5, 2, FALSE)</f>
        <v>Edge Computing Core</v>
      </c>
      <c r="D4" s="2" t="s">
        <v>24</v>
      </c>
      <c r="E4" s="2" t="s">
        <v>25</v>
      </c>
    </row>
    <row r="5" spans="1:5" ht="28.5" thickBot="1" x14ac:dyDescent="0.4">
      <c r="A5" s="2" t="s">
        <v>26</v>
      </c>
      <c r="B5" s="2" t="s">
        <v>12</v>
      </c>
      <c r="C5" s="2" t="str">
        <f>VLOOKUP(TRIM(B5), 'danh-muc-linh-kien'!$A$2:$D$5, 2, FALSE)</f>
        <v>Sensor Hub Delta</v>
      </c>
      <c r="D5" s="2" t="s">
        <v>21</v>
      </c>
      <c r="E5" s="2" t="s">
        <v>27</v>
      </c>
    </row>
  </sheetData>
  <autoFilter ref="A1:E1" xr:uid="{1A52EE1F-7384-4721-95CE-C66B671CCD0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 uy</dc:creator>
  <cp:lastModifiedBy>py uy</cp:lastModifiedBy>
  <dcterms:created xsi:type="dcterms:W3CDTF">2026-10-26T15:52:06Z</dcterms:created>
  <dcterms:modified xsi:type="dcterms:W3CDTF">2026-10-26T16:04:57Z</dcterms:modified>
</cp:coreProperties>
</file>